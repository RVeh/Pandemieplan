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60" yWindow="1360" windowWidth="23000" windowHeight="19040" tabRatio="600" firstSheet="0" activeTab="0" autoFilterDateGrouping="1"/>
  </bookViews>
  <sheets>
    <sheet xmlns:r="http://schemas.openxmlformats.org/officeDocument/2006/relationships" name="MeltzerDiskret" sheetId="1" state="visible" r:id="rId1"/>
    <sheet xmlns:r="http://schemas.openxmlformats.org/officeDocument/2006/relationships" name="MC-Simula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MC_Quantile_100k" sheetId="4" state="visible" r:id="rId4"/>
    <sheet xmlns:r="http://schemas.openxmlformats.org/officeDocument/2006/relationships" name="MC_Metadat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#,##0_ ;\-#,##0\ 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i val="1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000000"/>
      <sz val="14"/>
    </font>
    <font>
      <name val="Calibri (Textkörper)"/>
      <b val="1"/>
      <sz val="12"/>
    </font>
    <font>
      <name val="Calibri (Textkörper)"/>
      <color theme="1"/>
      <sz val="12"/>
    </font>
    <font>
      <name val="Calibri (Textkörper)"/>
      <b val="1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b val="1"/>
      <sz val="12"/>
      <scheme val="minor"/>
    </font>
    <font>
      <name val="Calibri"/>
      <family val="2"/>
      <color theme="1"/>
      <sz val="14"/>
      <scheme val="minor"/>
    </font>
    <font>
      <name val="Calibri (Textkörper)"/>
      <b val="1"/>
      <sz val="14"/>
    </font>
    <font>
      <name val="Calibri (Textkörper)"/>
      <color theme="1"/>
      <sz val="14"/>
    </font>
    <font>
      <name val="Calibri (Textkörper)"/>
      <b val="1"/>
      <color rgb="FF000000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3">
    <xf numFmtId="0" fontId="8" fillId="0" borderId="0"/>
    <xf numFmtId="43" fontId="8" fillId="0" borderId="0"/>
    <xf numFmtId="9" fontId="8" fillId="0" borderId="0"/>
  </cellStyleXfs>
  <cellXfs count="110">
    <xf numFmtId="0" fontId="0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3" fillId="0" borderId="2" pivotButton="0" quotePrefix="0" xfId="0"/>
    <xf numFmtId="9" fontId="3" fillId="0" borderId="2" pivotButton="0" quotePrefix="0" xfId="0"/>
    <xf numFmtId="0" fontId="3" fillId="0" borderId="0" pivotButton="0" quotePrefix="0" xfId="0"/>
    <xf numFmtId="10" fontId="3" fillId="0" borderId="2" pivotButton="0" quotePrefix="0" xfId="0"/>
    <xf numFmtId="164" fontId="0" fillId="0" borderId="0" pivotButton="0" quotePrefix="0" xfId="0"/>
    <xf numFmtId="165" fontId="6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5" fontId="6" fillId="7" borderId="1" applyAlignment="1" pivotButton="0" quotePrefix="0" xfId="1">
      <alignment horizontal="center" vertical="center" wrapText="1"/>
    </xf>
    <xf numFmtId="0" fontId="13" fillId="9" borderId="0" pivotButton="0" quotePrefix="0" xfId="0"/>
    <xf numFmtId="165" fontId="5" fillId="9" borderId="1" applyAlignment="1" pivotButton="0" quotePrefix="0" xfId="1">
      <alignment horizontal="center" wrapText="1"/>
    </xf>
    <xf numFmtId="3" fontId="3" fillId="0" borderId="2" pivotButton="0" quotePrefix="0" xfId="0"/>
    <xf numFmtId="0" fontId="13" fillId="0" borderId="2" pivotButton="0" quotePrefix="0" xfId="0"/>
    <xf numFmtId="0" fontId="13" fillId="0" borderId="2" applyAlignment="1" pivotButton="0" quotePrefix="0" xfId="0">
      <alignment horizontal="right"/>
    </xf>
    <xf numFmtId="3" fontId="3" fillId="0" borderId="0" pivotButton="0" quotePrefix="0" xfId="0"/>
    <xf numFmtId="0" fontId="9" fillId="5" borderId="2" pivotButton="0" quotePrefix="0" xfId="0"/>
    <xf numFmtId="3" fontId="9" fillId="5" borderId="2" pivotButton="0" quotePrefix="0" xfId="0"/>
    <xf numFmtId="0" fontId="6" fillId="7" borderId="4" applyAlignment="1" pivotButton="0" quotePrefix="0" xfId="0">
      <alignment horizontal="left" vertical="center" wrapText="1"/>
    </xf>
    <xf numFmtId="165" fontId="6" fillId="7" borderId="4" applyAlignment="1" pivotButton="0" quotePrefix="0" xfId="1">
      <alignment horizontal="center" vertical="center" wrapText="1"/>
    </xf>
    <xf numFmtId="165" fontId="5" fillId="9" borderId="5" applyAlignment="1" pivotButton="0" quotePrefix="0" xfId="1">
      <alignment horizontal="center" wrapText="1"/>
    </xf>
    <xf numFmtId="0" fontId="6" fillId="7" borderId="6" applyAlignment="1" pivotButton="0" quotePrefix="0" xfId="0">
      <alignment horizontal="left" vertical="center" wrapText="1"/>
    </xf>
    <xf numFmtId="165" fontId="6" fillId="7" borderId="6" applyAlignment="1" pivotButton="0" quotePrefix="0" xfId="1">
      <alignment horizontal="center" vertical="center" wrapText="1"/>
    </xf>
    <xf numFmtId="0" fontId="12" fillId="5" borderId="3" applyAlignment="1" pivotButton="0" quotePrefix="0" xfId="0">
      <alignment horizontal="left" vertical="center" wrapText="1"/>
    </xf>
    <xf numFmtId="9" fontId="10" fillId="5" borderId="3" applyAlignment="1" pivotButton="0" quotePrefix="0" xfId="0">
      <alignment horizontal="center" vertical="center" wrapText="1"/>
    </xf>
    <xf numFmtId="9" fontId="10" fillId="5" borderId="1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3" fontId="15" fillId="0" borderId="0" applyAlignment="1" pivotButton="0" quotePrefix="0" xfId="1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9" fillId="5" borderId="13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9" fillId="5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 wrapText="1"/>
    </xf>
    <xf numFmtId="0" fontId="13" fillId="5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top"/>
    </xf>
    <xf numFmtId="0" fontId="1" fillId="0" borderId="0" pivotButton="0" quotePrefix="0" xfId="0"/>
    <xf numFmtId="0" fontId="21" fillId="0" borderId="0" pivotButton="0" quotePrefix="0" xfId="0"/>
    <xf numFmtId="0" fontId="1" fillId="0" borderId="14" applyAlignment="1" pivotButton="0" quotePrefix="0" xfId="0">
      <alignment horizontal="center" vertical="center"/>
    </xf>
    <xf numFmtId="0" fontId="16" fillId="5" borderId="14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/>
    </xf>
    <xf numFmtId="0" fontId="11" fillId="5" borderId="1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9" fillId="4" borderId="14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 wrapText="1"/>
    </xf>
    <xf numFmtId="0" fontId="16" fillId="4" borderId="14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top"/>
    </xf>
    <xf numFmtId="0" fontId="23" fillId="0" borderId="0" pivotButton="0" quotePrefix="0" xfId="0"/>
    <xf numFmtId="0" fontId="23" fillId="0" borderId="0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4" fillId="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7" fillId="3" borderId="2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3" fontId="18" fillId="10" borderId="15" applyAlignment="1" pivotButton="0" quotePrefix="0" xfId="1">
      <alignment horizontal="center" vertical="center" wrapText="1"/>
    </xf>
    <xf numFmtId="3" fontId="18" fillId="10" borderId="7" applyAlignment="1" pivotButton="0" quotePrefix="0" xfId="1">
      <alignment horizontal="center" vertical="center" wrapText="1"/>
    </xf>
    <xf numFmtId="3" fontId="18" fillId="10" borderId="8" applyAlignment="1" pivotButton="0" quotePrefix="0" xfId="1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3" fontId="18" fillId="10" borderId="16" applyAlignment="1" pivotButton="0" quotePrefix="0" xfId="1">
      <alignment horizontal="center" vertical="center" wrapText="1"/>
    </xf>
    <xf numFmtId="3" fontId="18" fillId="10" borderId="17" applyAlignment="1" pivotButton="0" quotePrefix="0" xfId="1">
      <alignment horizontal="center" vertical="center" wrapText="1"/>
    </xf>
    <xf numFmtId="3" fontId="18" fillId="10" borderId="18" applyAlignment="1" pivotButton="0" quotePrefix="0" xfId="1">
      <alignment horizontal="center" vertical="center" wrapText="1"/>
    </xf>
    <xf numFmtId="3" fontId="9" fillId="10" borderId="14" applyAlignment="1" pivotButton="0" quotePrefix="0" xfId="0">
      <alignment horizontal="center" vertical="center"/>
    </xf>
    <xf numFmtId="0" fontId="9" fillId="10" borderId="14" applyAlignment="1" pivotButton="0" quotePrefix="0" xfId="0">
      <alignment horizontal="center" vertical="center"/>
    </xf>
    <xf numFmtId="3" fontId="9" fillId="10" borderId="15" applyAlignment="1" pivotButton="0" quotePrefix="0" xfId="0">
      <alignment horizontal="center" vertical="center"/>
    </xf>
    <xf numFmtId="3" fontId="9" fillId="10" borderId="7" applyAlignment="1" pivotButton="0" quotePrefix="0" xfId="0">
      <alignment horizontal="center" vertical="center"/>
    </xf>
    <xf numFmtId="3" fontId="9" fillId="10" borderId="8" applyAlignment="1" pivotButton="0" quotePrefix="0" xfId="0">
      <alignment horizontal="center" vertical="center"/>
    </xf>
    <xf numFmtId="3" fontId="15" fillId="8" borderId="2" applyAlignment="1" pivotButton="0" quotePrefix="0" xfId="1">
      <alignment horizontal="center" vertical="center" wrapText="1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10" borderId="14" pivotButton="0" quotePrefix="0" xfId="0"/>
    <xf numFmtId="0" fontId="0" fillId="0" borderId="0" pivotButton="0" quotePrefix="0" xfId="0"/>
    <xf numFmtId="0" fontId="6" fillId="5" borderId="14" applyAlignment="1" pivotButton="0" quotePrefix="0" xfId="0">
      <alignment horizontal="left" vertical="center" wrapText="1"/>
    </xf>
    <xf numFmtId="9" fontId="10" fillId="5" borderId="14" applyAlignment="1" pivotButton="0" quotePrefix="0" xfId="2">
      <alignment horizontal="center" vertical="center" wrapText="1"/>
    </xf>
    <xf numFmtId="0" fontId="0" fillId="0" borderId="19" pivotButton="0" quotePrefix="0" xfId="0"/>
    <xf numFmtId="0" fontId="24" fillId="2" borderId="14" applyAlignment="1" pivotButton="0" quotePrefix="0" xfId="0">
      <alignment horizontal="left" vertical="center" wrapText="1"/>
    </xf>
    <xf numFmtId="3" fontId="24" fillId="8" borderId="14" applyAlignment="1" pivotButton="0" quotePrefix="0" xfId="1">
      <alignment horizontal="center" vertical="center" wrapText="1"/>
    </xf>
    <xf numFmtId="0" fontId="23" fillId="0" borderId="14" applyAlignment="1" pivotButton="0" quotePrefix="0" xfId="0">
      <alignment horizontal="center"/>
    </xf>
    <xf numFmtId="0" fontId="22" fillId="8" borderId="4" applyAlignment="1" pivotButton="0" quotePrefix="0" xfId="0">
      <alignment horizontal="center" vertical="center" wrapText="1"/>
    </xf>
    <xf numFmtId="0" fontId="23" fillId="0" borderId="12" pivotButton="0" quotePrefix="0" xfId="0"/>
    <xf numFmtId="0" fontId="22" fillId="0" borderId="4" applyAlignment="1" pivotButton="0" quotePrefix="0" xfId="0">
      <alignment horizontal="center" vertical="center" wrapText="1"/>
    </xf>
    <xf numFmtId="0" fontId="23" fillId="0" borderId="11" pivotButton="0" quotePrefix="0" xfId="0"/>
    <xf numFmtId="0" fontId="22" fillId="0" borderId="14" applyAlignment="1" pivotButton="0" quotePrefix="0" xfId="0">
      <alignment horizontal="center" vertical="center" wrapText="1"/>
    </xf>
    <xf numFmtId="0" fontId="23" fillId="0" borderId="14" pivotButton="0" quotePrefix="0" xfId="0"/>
    <xf numFmtId="0" fontId="22" fillId="6" borderId="1" applyAlignment="1" pivotButton="0" quotePrefix="0" xfId="0">
      <alignment horizontal="center" vertical="center" wrapText="1"/>
    </xf>
    <xf numFmtId="0" fontId="23" fillId="0" borderId="9" pivotButton="0" quotePrefix="0" xfId="0"/>
    <xf numFmtId="0" fontId="23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2" pivotButton="0" quotePrefix="0" xfId="0"/>
    <xf numFmtId="0" fontId="0" fillId="0" borderId="23" pivotButton="0" quotePrefix="0" xfId="0"/>
    <xf numFmtId="3" fontId="18" fillId="10" borderId="24" applyAlignment="1" pivotButton="0" quotePrefix="0" xfId="1">
      <alignment horizontal="center" vertical="center" wrapText="1"/>
    </xf>
    <xf numFmtId="0" fontId="0" fillId="0" borderId="26" pivotButton="0" quotePrefix="0" xfId="0"/>
    <xf numFmtId="3" fontId="9" fillId="10" borderId="24" applyAlignment="1" pivotButton="0" quotePrefix="0" xfId="0">
      <alignment horizontal="center" vertical="center"/>
    </xf>
    <xf numFmtId="3" fontId="18" fillId="10" borderId="27" applyAlignment="1" pivotButton="0" quotePrefix="0" xfId="1">
      <alignment horizontal="center" vertical="center" wrapText="1"/>
    </xf>
    <xf numFmtId="0" fontId="0" fillId="0" borderId="20" pivotButton="0" quotePrefix="0" xfId="0"/>
    <xf numFmtId="0" fontId="0" fillId="0" borderId="25" pivotButton="0" quotePrefix="0" xfId="0"/>
    <xf numFmtId="0" fontId="25" fillId="0" borderId="28" applyAlignment="1" pivotButton="0" quotePrefix="0" xfId="0">
      <alignment horizontal="center" vertical="top"/>
    </xf>
  </cellXfs>
  <cellStyles count="3">
    <cellStyle name="Standard" xfId="0" builtinId="0"/>
    <cellStyle name="Komma" xfId="1" builtinId="3"/>
    <cellStyle name="Proz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zoomScale="120" zoomScaleNormal="120" workbookViewId="0">
      <selection activeCell="B4" sqref="B4:E4"/>
    </sheetView>
  </sheetViews>
  <sheetFormatPr baseColWidth="10" defaultColWidth="8.83203125" defaultRowHeight="15"/>
  <cols>
    <col width="66.83203125" customWidth="1" style="83" min="1" max="1"/>
    <col width="14" customWidth="1" style="83" min="2" max="5"/>
  </cols>
  <sheetData>
    <row r="1" ht="42" customHeight="1" s="83">
      <c r="A1" s="96" t="inlineStr">
        <is>
          <t>Mathematische Modellrechnungen zur Auswirkung einer Influenzapandemie in Deutschland</t>
        </is>
      </c>
      <c r="B1" s="57" t="n"/>
      <c r="C1" s="57" t="n"/>
      <c r="D1" s="57" t="n"/>
      <c r="E1" s="58" t="n"/>
    </row>
    <row r="2" ht="34" customHeight="1" s="83">
      <c r="A2" s="92" t="inlineStr">
        <is>
          <t>Grundannahme Dauer der Pandemiewelle in Wochen</t>
        </is>
      </c>
      <c r="B2" s="99" t="n"/>
      <c r="C2" s="100" t="n"/>
      <c r="D2" s="90" t="n">
        <v>8</v>
      </c>
      <c r="E2" s="100" t="n"/>
    </row>
    <row r="3" ht="26" customHeight="1" s="83">
      <c r="A3" s="94" t="inlineStr">
        <is>
          <t>Erkrankungsrate der Bevölkerung: 15 %, 30 %, 50 %, 70 %</t>
        </is>
      </c>
      <c r="B3" s="101" t="n"/>
      <c r="C3" s="101" t="n"/>
      <c r="D3" s="101" t="n"/>
      <c r="E3" s="102" t="n"/>
    </row>
    <row r="4" ht="25" customHeight="1" s="83">
      <c r="A4" s="87" t="inlineStr">
        <is>
          <t>Landkreis Rhein-Sieg-Kreis</t>
        </is>
      </c>
      <c r="B4" s="88">
        <f>Parameter!B31</f>
        <v/>
      </c>
      <c r="C4" s="101" t="n"/>
      <c r="D4" s="101" t="n"/>
      <c r="E4" s="102" t="n"/>
    </row>
    <row r="5" ht="25" customHeight="1" s="83">
      <c r="A5" s="86" t="n"/>
    </row>
    <row r="6" ht="25" customHeight="1" s="83">
      <c r="A6" s="84" t="inlineStr">
        <is>
          <t>Erkrankungsrate (ER) / 100.000 EW</t>
        </is>
      </c>
      <c r="B6" s="85" t="n">
        <v>0.15</v>
      </c>
      <c r="C6" s="85" t="n">
        <v>0.3</v>
      </c>
      <c r="D6" s="85" t="n">
        <v>0.5</v>
      </c>
      <c r="E6" s="85" t="n">
        <v>0.7</v>
      </c>
    </row>
    <row r="7" ht="25" customHeight="1" s="83">
      <c r="A7" s="10" t="inlineStr">
        <is>
          <t>Erkrankungen</t>
        </is>
      </c>
      <c r="B7" s="20">
        <f>100000*B6</f>
        <v/>
      </c>
      <c r="C7" s="20">
        <f>100000*C6</f>
        <v/>
      </c>
      <c r="D7" s="20">
        <f>100000*D6</f>
        <v/>
      </c>
      <c r="E7" s="20">
        <f>100000*E6</f>
        <v/>
      </c>
    </row>
    <row r="8" ht="18" customHeight="1" s="83">
      <c r="A8" s="8" t="inlineStr">
        <is>
          <t>Arztkonsultationen Spitzenbelastung /24h*</t>
        </is>
      </c>
      <c r="B8" s="9">
        <f>ROUND(B9/($D$2*7),0)</f>
        <v/>
      </c>
      <c r="C8" s="9">
        <f>ROUND(C9/($D$2*7),0)</f>
        <v/>
      </c>
      <c r="D8" s="9">
        <f>ROUND(D9/($D$2*7),0)</f>
        <v/>
      </c>
      <c r="E8" s="9">
        <f>ROUND(E9/($D$2*7),0)</f>
        <v/>
      </c>
    </row>
    <row r="9" ht="18" customHeight="1" s="83">
      <c r="A9" s="8" t="inlineStr">
        <is>
          <t>Arztkonsultationen / Gesamt*</t>
        </is>
      </c>
      <c r="B9" s="9">
        <f>B7*Parameter!$B$3</f>
        <v/>
      </c>
      <c r="C9" s="9">
        <f>C7*Parameter!$B$3</f>
        <v/>
      </c>
      <c r="D9" s="9">
        <f>D7*Parameter!$B$3</f>
        <v/>
      </c>
      <c r="E9" s="9">
        <f>E7*Parameter!$B$3</f>
        <v/>
      </c>
    </row>
    <row r="10" ht="18" customHeight="1" s="83">
      <c r="A10" s="1" t="inlineStr">
        <is>
          <t>Hospitalisierungen Spitzenbelastung /24h*</t>
        </is>
      </c>
      <c r="B10" s="7">
        <f>ROUND(B11/($D$2*7),0)</f>
        <v/>
      </c>
      <c r="C10" s="7">
        <f>ROUND(C11/($D$2*7),0)</f>
        <v/>
      </c>
      <c r="D10" s="7">
        <f>ROUND(D11/($D$2*7),0)</f>
        <v/>
      </c>
      <c r="E10" s="7">
        <f>ROUND(E11/($D$2*7),0)</f>
        <v/>
      </c>
    </row>
    <row r="11" ht="18" customHeight="1" s="83">
      <c r="A11" s="1" t="inlineStr">
        <is>
          <t>Hospitalisierungen (2,7%) / Gesamt*</t>
        </is>
      </c>
      <c r="B11" s="7">
        <f>ROUND(B9*Parameter!$B$4,0)</f>
        <v/>
      </c>
      <c r="C11" s="7">
        <f>ROUND(C9*Parameter!$B$4,0)</f>
        <v/>
      </c>
      <c r="D11" s="7">
        <f>ROUND(D9*Parameter!$B$4,0)</f>
        <v/>
      </c>
      <c r="E11" s="7">
        <f>ROUND(E9*Parameter!$B$4,0)</f>
        <v/>
      </c>
    </row>
    <row r="12" ht="18" customHeight="1" s="83">
      <c r="A12" s="18" t="inlineStr">
        <is>
          <t>Tote Spitzenbelastung /24h*</t>
        </is>
      </c>
      <c r="B12" s="19" t="n">
        <v>1</v>
      </c>
      <c r="C12" s="19" t="n">
        <v>2</v>
      </c>
      <c r="D12" s="19" t="n">
        <v>3</v>
      </c>
      <c r="E12" s="19" t="n">
        <v>4</v>
      </c>
    </row>
    <row r="13" ht="18" customHeight="1" s="83">
      <c r="A13" s="21" t="inlineStr">
        <is>
          <t>Tote (0,7% d. Arztkonsultationen) / Gesamt*</t>
        </is>
      </c>
      <c r="B13" s="22">
        <f>ROUND(B9*Parameter!$B$5,0)</f>
        <v/>
      </c>
      <c r="C13" s="22">
        <f>ROUND(C9*Parameter!$B$5,0)</f>
        <v/>
      </c>
      <c r="D13" s="22">
        <f>ROUND(D9*Parameter!$B$5,0)</f>
        <v/>
      </c>
      <c r="E13" s="22">
        <f>ROUND(E9*Parameter!$B$5,0)</f>
        <v/>
      </c>
    </row>
    <row r="14" ht="21" customHeight="1" s="83">
      <c r="A14" s="62" t="inlineStr">
        <is>
          <t>* Quelle: Modellrechnung Pandemieplan Land Hessen Februar 2007 (Seite 21 ff)</t>
        </is>
      </c>
      <c r="B14" s="60" t="n"/>
      <c r="C14" s="60" t="n"/>
      <c r="D14" s="60" t="n"/>
      <c r="E14" s="61" t="n"/>
    </row>
    <row r="15" ht="35" customHeight="1" s="83">
      <c r="A15" s="59" t="n"/>
      <c r="B15" s="60" t="n"/>
      <c r="C15" s="60" t="n"/>
      <c r="D15" s="60" t="n"/>
      <c r="E15" s="61" t="n"/>
    </row>
    <row r="16" ht="25" customHeight="1" s="83">
      <c r="A16" s="23" t="inlineStr">
        <is>
          <t>Erkrankungsrate (ER) / Eigene Bevölkerung</t>
        </is>
      </c>
      <c r="B16" s="24">
        <f>B6</f>
        <v/>
      </c>
      <c r="C16" s="24">
        <f>C6</f>
        <v/>
      </c>
      <c r="D16" s="24">
        <f>D6</f>
        <v/>
      </c>
      <c r="E16" s="24">
        <f>E6</f>
        <v/>
      </c>
    </row>
    <row r="17" ht="26" customHeight="1" s="83">
      <c r="A17" s="10" t="inlineStr">
        <is>
          <t>Erkrankungen</t>
        </is>
      </c>
      <c r="B17" s="20">
        <f>ROUND($B$4*B16,0)</f>
        <v/>
      </c>
      <c r="C17" s="20">
        <f>ROUND($B$4*C16,0)</f>
        <v/>
      </c>
      <c r="D17" s="20">
        <f>ROUND($B$4*D16,0)</f>
        <v/>
      </c>
      <c r="E17" s="20">
        <f>ROUND($B$4*E16,0)</f>
        <v/>
      </c>
    </row>
    <row r="18" ht="18" customHeight="1" s="83">
      <c r="A18" s="8" t="inlineStr">
        <is>
          <t>Arztkonsultationen Spitzenbelastung /24h*</t>
        </is>
      </c>
      <c r="B18" s="9">
        <f>ROUND(B19/($D$2*7),0)</f>
        <v/>
      </c>
      <c r="C18" s="9">
        <f>ROUND(C19/($D$2*7),0)</f>
        <v/>
      </c>
      <c r="D18" s="9">
        <f>ROUND(D19/($D$2*7),0)</f>
        <v/>
      </c>
      <c r="E18" s="9">
        <f>ROUND(E19/($D$2*7),0)</f>
        <v/>
      </c>
    </row>
    <row r="19" ht="18" customHeight="1" s="83">
      <c r="A19" s="8" t="inlineStr">
        <is>
          <t>Arztkonsultationen / Gesamt*</t>
        </is>
      </c>
      <c r="B19" s="9">
        <f>ROUND(B17*Parameter!$B$3,0)</f>
        <v/>
      </c>
      <c r="C19" s="9">
        <f>ROUND(C17*Parameter!$B$3,0)</f>
        <v/>
      </c>
      <c r="D19" s="9">
        <f>ROUND(D17*Parameter!$B$3,0)</f>
        <v/>
      </c>
      <c r="E19" s="9">
        <f>ROUND(E17*Parameter!$B$3,0)</f>
        <v/>
      </c>
    </row>
    <row r="20" ht="18" customHeight="1" s="83">
      <c r="A20" s="1" t="inlineStr">
        <is>
          <t xml:space="preserve">Hospitalisierungen Spitzenbelastung /24h </t>
        </is>
      </c>
      <c r="B20" s="7">
        <f>ROUND(B21/($D$2*7),0)</f>
        <v/>
      </c>
      <c r="C20" s="7">
        <f>ROUND(C21/($D$2*7),0)</f>
        <v/>
      </c>
      <c r="D20" s="7">
        <f>ROUND(D21/($D$2*7),0)</f>
        <v/>
      </c>
      <c r="E20" s="7">
        <f>ROUND(E21/($D$2*7),0)</f>
        <v/>
      </c>
    </row>
    <row r="21" ht="18" customHeight="1" s="83">
      <c r="A21" s="1" t="inlineStr">
        <is>
          <t xml:space="preserve">Hospitalisierungen / Gesamt </t>
        </is>
      </c>
      <c r="B21" s="7">
        <f>ROUND(B19*Parameter!$B$4,0)</f>
        <v/>
      </c>
      <c r="C21" s="7">
        <f>ROUND(C19*Parameter!$B$4,0)</f>
        <v/>
      </c>
      <c r="D21" s="7">
        <f>ROUND(D19*Parameter!$B$4,0)</f>
        <v/>
      </c>
      <c r="E21" s="7">
        <f>ROUND(E19*Parameter!$B$4,0)</f>
        <v/>
      </c>
    </row>
    <row r="22" ht="18" customHeight="1" s="83">
      <c r="A22" s="8" t="inlineStr">
        <is>
          <t>Krankenhausverlauf mild (80%) / Gesamt (nach RKI Steckbrief Coronavirus 2019)</t>
        </is>
      </c>
      <c r="B22" s="9">
        <f>ROUND(B17*0.8,0)</f>
        <v/>
      </c>
      <c r="C22" s="9">
        <f>ROUND(C17*0.8,0)</f>
        <v/>
      </c>
      <c r="D22" s="9">
        <f>ROUND(D17*0.8,0)</f>
        <v/>
      </c>
      <c r="E22" s="9">
        <f>ROUND(E17*0.8,0)</f>
        <v/>
      </c>
    </row>
    <row r="23" ht="18" customHeight="1" s="83">
      <c r="A23" s="8" t="inlineStr">
        <is>
          <t>Krankenhausverlauf schwer (14%) / Gesamt (nach RKI Steckbrief Coronavirus 2019)</t>
        </is>
      </c>
      <c r="B23" s="9">
        <f>ROUND(B17*0.14,0)</f>
        <v/>
      </c>
      <c r="C23" s="9">
        <f>ROUND(C17*0.14,0)</f>
        <v/>
      </c>
      <c r="D23" s="9">
        <f>ROUND(D17*0.14,0)</f>
        <v/>
      </c>
      <c r="E23" s="9">
        <f>ROUND(E17*0.14,0)</f>
        <v/>
      </c>
    </row>
    <row r="24" ht="18" customHeight="1" s="83">
      <c r="A24" s="8" t="inlineStr">
        <is>
          <t>Krankenhausverlauf kritisch (6%) / Gesamt (nach RKI Steckbrief Coronavirus 2019)</t>
        </is>
      </c>
      <c r="B24" s="9">
        <f>ROUND(B17*0.06,0)</f>
        <v/>
      </c>
      <c r="C24" s="9">
        <f>ROUND(C17*0.06,0)</f>
        <v/>
      </c>
      <c r="D24" s="9">
        <f>ROUND(D17*0.06,0)</f>
        <v/>
      </c>
      <c r="E24" s="9">
        <f>ROUND(E17*0.06,0)</f>
        <v/>
      </c>
    </row>
    <row r="25" ht="18" customHeight="1" s="83">
      <c r="A25" s="1" t="inlineStr">
        <is>
          <t>Tote  Spitzenbelastung /24h*</t>
        </is>
      </c>
      <c r="B25" s="7">
        <f>ROUND(B26/($D$2*7),0)</f>
        <v/>
      </c>
      <c r="C25" s="7">
        <f>ROUND(C26/($D$2*7),0)</f>
        <v/>
      </c>
      <c r="D25" s="7">
        <f>ROUND(D26/($D$2*7),0)</f>
        <v/>
      </c>
      <c r="E25" s="7">
        <f>ROUND(E26/($D$2*7),0)</f>
        <v/>
      </c>
    </row>
    <row r="26" ht="18" customHeight="1" s="83">
      <c r="A26" s="1" t="inlineStr">
        <is>
          <t>Tote (0,7% d. Arztkonsultationen) / Gesamt*</t>
        </is>
      </c>
      <c r="B26" s="7">
        <f>ROUND(B19*Parameter!$B$5,0)</f>
        <v/>
      </c>
      <c r="C26" s="7">
        <f>ROUND(C19*Parameter!$B$5,0)</f>
        <v/>
      </c>
      <c r="D26" s="7">
        <f>ROUND(D19*Parameter!$B$5,0)</f>
        <v/>
      </c>
      <c r="E26" s="7">
        <f>ROUND(E19*Parameter!$B$5,0)</f>
        <v/>
      </c>
    </row>
    <row r="29">
      <c r="B29" s="6" t="n"/>
    </row>
  </sheetData>
  <mergeCells count="7">
    <mergeCell ref="B4:E4"/>
    <mergeCell ref="D2:E2"/>
    <mergeCell ref="A15:E15"/>
    <mergeCell ref="A1:E1"/>
    <mergeCell ref="A14:E14"/>
    <mergeCell ref="A2:C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topLeftCell="A15" zoomScale="120" zoomScaleNormal="120" workbookViewId="0">
      <selection activeCell="C24" sqref="C24"/>
    </sheetView>
  </sheetViews>
  <sheetFormatPr baseColWidth="10" defaultColWidth="8.83203125" defaultRowHeight="15"/>
  <cols>
    <col width="48.33203125" customWidth="1" style="83" min="1" max="1"/>
    <col width="10.83203125" customWidth="1" style="83" min="2" max="2"/>
    <col width="11" customWidth="1" style="83" min="3" max="3"/>
    <col width="10.83203125" customWidth="1" style="83" min="4" max="4"/>
    <col width="7.6640625" customWidth="1" style="83" min="5" max="5"/>
    <col width="10.6640625" customWidth="1" style="83" min="6" max="6"/>
    <col width="10.83203125" customWidth="1" style="83" min="7" max="8"/>
    <col width="5" customWidth="1" style="83" min="9" max="9"/>
    <col width="11.33203125" customWidth="1" style="83" min="10" max="10"/>
    <col width="12.1640625" bestFit="1" customWidth="1" style="83" min="11" max="11"/>
  </cols>
  <sheetData>
    <row r="1" ht="42" customHeight="1" s="83">
      <c r="A1" s="63" t="inlineStr">
        <is>
          <t>Mathematische Modellrechnungen zur Auswirkung einer Influenzapandemie in Deutschland</t>
        </is>
      </c>
      <c r="B1" s="57" t="n"/>
      <c r="C1" s="57" t="n"/>
      <c r="D1" s="57" t="n"/>
      <c r="E1" s="58" t="n"/>
    </row>
    <row r="2" ht="34" customHeight="1" s="83">
      <c r="A2" s="68" t="inlineStr">
        <is>
          <t>Grundannahme Dauer der Pandemiewelle in Wochen</t>
        </is>
      </c>
      <c r="B2" s="57" t="n"/>
      <c r="C2" s="58" t="n"/>
      <c r="D2" s="80" t="n">
        <v>8</v>
      </c>
      <c r="E2" s="58" t="n"/>
    </row>
    <row r="3" ht="33" customHeight="1" s="83">
      <c r="A3" s="26">
        <f>MeltzerDiskret!A4</f>
        <v/>
      </c>
      <c r="B3" s="77">
        <f>Parameter!B31</f>
        <v/>
      </c>
      <c r="C3" s="60" t="n"/>
      <c r="D3" s="60" t="n"/>
      <c r="E3" s="61" t="n"/>
    </row>
    <row r="4" ht="33" customHeight="1" s="83">
      <c r="A4" s="28" t="n"/>
      <c r="B4" s="29" t="n"/>
    </row>
    <row r="5" ht="33" customHeight="1" s="83">
      <c r="A5" s="51" t="inlineStr">
        <is>
          <t>Arztkonsultationen (Gesamt/ 100k EW)</t>
        </is>
      </c>
      <c r="B5" s="103">
        <f>MC_Metadata!B6</f>
        <v/>
      </c>
      <c r="C5" s="101" t="n"/>
      <c r="D5" s="104" t="n"/>
      <c r="F5" s="72">
        <f>A3</f>
        <v/>
      </c>
      <c r="G5" s="101" t="n"/>
      <c r="H5" s="102" t="n"/>
    </row>
    <row r="6" ht="33" customHeight="1" s="83">
      <c r="A6" s="49" t="inlineStr">
        <is>
          <t>Erkrankungsrate der Bevölkerung in Prozent</t>
        </is>
      </c>
      <c r="B6" s="32" t="inlineStr">
        <is>
          <t>min (q05)</t>
        </is>
      </c>
      <c r="C6" s="32" t="inlineStr">
        <is>
          <t>mode (q50)</t>
        </is>
      </c>
      <c r="D6" s="32" t="inlineStr">
        <is>
          <t>max (q95)</t>
        </is>
      </c>
      <c r="F6" s="38">
        <f>B6</f>
        <v/>
      </c>
      <c r="G6" s="38">
        <f>C6</f>
        <v/>
      </c>
      <c r="H6" s="38">
        <f>D6</f>
        <v/>
      </c>
      <c r="J6" s="38" t="inlineStr">
        <is>
          <t>Spannweite</t>
        </is>
      </c>
    </row>
    <row r="7" ht="33" customHeight="1" s="83">
      <c r="A7" s="31">
        <f>MC_Quantile_100k!A2</f>
        <v/>
      </c>
      <c r="B7" s="33">
        <f>MC_Quantile_100k!B2</f>
        <v/>
      </c>
      <c r="C7" s="33">
        <f>MC_Quantile_100k!C2</f>
        <v/>
      </c>
      <c r="D7" s="33">
        <f>MC_Quantile_100k!D2</f>
        <v/>
      </c>
      <c r="F7" s="37">
        <f>ROUND(B7/100000*$B$3,0)</f>
        <v/>
      </c>
      <c r="G7" s="37">
        <f>ROUND(C7/100000*$B$3,0)</f>
        <v/>
      </c>
      <c r="H7" s="37">
        <f>ROUND(D7/100000*$B$3,0)</f>
        <v/>
      </c>
      <c r="J7" s="37">
        <f>H7-F7</f>
        <v/>
      </c>
    </row>
    <row r="8" ht="33" customHeight="1" s="83">
      <c r="A8" s="31">
        <f>MC_Quantile_100k!A3</f>
        <v/>
      </c>
      <c r="B8" s="33">
        <f>MC_Quantile_100k!B3</f>
        <v/>
      </c>
      <c r="C8" s="33">
        <f>MC_Quantile_100k!C3</f>
        <v/>
      </c>
      <c r="D8" s="33">
        <f>MC_Quantile_100k!D3</f>
        <v/>
      </c>
      <c r="F8" s="37">
        <f>ROUND(B8/100000*$B$3,0)</f>
        <v/>
      </c>
      <c r="G8" s="37">
        <f>ROUND(C8/100000*$B$3,0)</f>
        <v/>
      </c>
      <c r="H8" s="37">
        <f>ROUND(D8/100000*$B$3,0)</f>
        <v/>
      </c>
      <c r="J8" s="37">
        <f>H8-F8</f>
        <v/>
      </c>
    </row>
    <row r="9" ht="33" customHeight="1" s="83">
      <c r="A9" s="31">
        <f>MC_Quantile_100k!A4</f>
        <v/>
      </c>
      <c r="B9" s="33">
        <f>MC_Quantile_100k!B4</f>
        <v/>
      </c>
      <c r="C9" s="33">
        <f>MC_Quantile_100k!C4</f>
        <v/>
      </c>
      <c r="D9" s="33">
        <f>MC_Quantile_100k!D4</f>
        <v/>
      </c>
      <c r="F9" s="37">
        <f>ROUND(B9/100000*$B$3,0)</f>
        <v/>
      </c>
      <c r="G9" s="37">
        <f>ROUND(C9/100000*$B$3,0)</f>
        <v/>
      </c>
      <c r="H9" s="37">
        <f>ROUND(D9/100000*$B$3,0)</f>
        <v/>
      </c>
      <c r="J9" s="37">
        <f>H9-F9</f>
        <v/>
      </c>
    </row>
    <row r="10" ht="33" customHeight="1" s="83">
      <c r="A10" s="31">
        <f>MC_Quantile_100k!A5</f>
        <v/>
      </c>
      <c r="B10" s="33">
        <f>MC_Quantile_100k!B5</f>
        <v/>
      </c>
      <c r="C10" s="33">
        <f>MC_Quantile_100k!C5</f>
        <v/>
      </c>
      <c r="D10" s="33">
        <f>MC_Quantile_100k!D5</f>
        <v/>
      </c>
      <c r="E10" s="29" t="n"/>
      <c r="F10" s="37">
        <f>ROUND(B10/100000*$B$3,0)</f>
        <v/>
      </c>
      <c r="G10" s="37">
        <f>ROUND(C10/100000*$B$3,0)</f>
        <v/>
      </c>
      <c r="H10" s="37">
        <f>ROUND(D10/100000*$B$3,0)</f>
        <v/>
      </c>
      <c r="J10" s="37">
        <f>H10-F10</f>
        <v/>
      </c>
    </row>
    <row r="11" ht="33" customHeight="1" s="83">
      <c r="A11" s="30" t="n"/>
      <c r="B11" s="34" t="n"/>
      <c r="C11" s="34" t="n"/>
      <c r="D11" s="34" t="n"/>
      <c r="E11" s="29" t="n"/>
    </row>
    <row r="12" ht="33" customHeight="1" s="83">
      <c r="A12" s="51" t="inlineStr">
        <is>
          <t>durchschn. Arztkonsultationen in 24 h/100k EW</t>
        </is>
      </c>
      <c r="B12" s="72">
        <f>B5</f>
        <v/>
      </c>
      <c r="C12" s="101" t="n"/>
      <c r="D12" s="102" t="n"/>
      <c r="E12" s="29" t="n"/>
      <c r="F12" s="105">
        <f>F5</f>
        <v/>
      </c>
      <c r="G12" s="101" t="n"/>
      <c r="H12" s="104" t="n"/>
    </row>
    <row r="13" ht="33" customHeight="1" s="83">
      <c r="A13" s="49" t="inlineStr">
        <is>
          <t>Erkrankungsrate der Bevölkerung in Prozent</t>
        </is>
      </c>
      <c r="B13" s="32" t="inlineStr">
        <is>
          <t>min (q05)</t>
        </is>
      </c>
      <c r="C13" s="32" t="inlineStr">
        <is>
          <t>mode (q50)</t>
        </is>
      </c>
      <c r="D13" s="32" t="inlineStr">
        <is>
          <t>max (q95)</t>
        </is>
      </c>
      <c r="E13" s="29" t="n"/>
      <c r="F13" s="41">
        <f>B13</f>
        <v/>
      </c>
      <c r="G13" s="41">
        <f>C13</f>
        <v/>
      </c>
      <c r="H13" s="41">
        <f>D13</f>
        <v/>
      </c>
      <c r="J13" s="38">
        <f>J6</f>
        <v/>
      </c>
    </row>
    <row r="14" ht="33" customHeight="1" s="83">
      <c r="A14" s="40">
        <f>MC_Quantile_100k!A2</f>
        <v/>
      </c>
      <c r="B14" s="45">
        <f>ROUND(B7/($D$2*7),0)</f>
        <v/>
      </c>
      <c r="C14" s="45">
        <f>ROUND(C7/($D$2*7),0)</f>
        <v/>
      </c>
      <c r="D14" s="45">
        <f>ROUND(D7/($D$2*7),0)</f>
        <v/>
      </c>
      <c r="E14" s="29" t="n"/>
      <c r="F14" s="39">
        <f>ROUND(B14/100000*$B$3,0)</f>
        <v/>
      </c>
      <c r="G14" s="39">
        <f>ROUND(C14/100000*$B$3,0)</f>
        <v/>
      </c>
      <c r="H14" s="39">
        <f>ROUND(D14/100000*$B$3,0)</f>
        <v/>
      </c>
      <c r="J14" s="37">
        <f>H14-F14</f>
        <v/>
      </c>
    </row>
    <row r="15" ht="33" customHeight="1" s="83">
      <c r="A15" s="40">
        <f>MC_Quantile_100k!A3</f>
        <v/>
      </c>
      <c r="B15" s="45">
        <f>ROUND(B8/($D$2*7),0)</f>
        <v/>
      </c>
      <c r="C15" s="45">
        <f>ROUND(C8/($D$2*7),0)</f>
        <v/>
      </c>
      <c r="D15" s="45">
        <f>ROUND(D8/($D$2*7),0)</f>
        <v/>
      </c>
      <c r="E15" s="29" t="n"/>
      <c r="F15" s="39">
        <f>ROUND(B15/100000*$B$3,0)</f>
        <v/>
      </c>
      <c r="G15" s="39">
        <f>ROUND(C15/100000*$B$3,0)</f>
        <v/>
      </c>
      <c r="H15" s="39">
        <f>ROUND(D15/100000*$B$3,0)</f>
        <v/>
      </c>
      <c r="J15" s="37">
        <f>H15-F15</f>
        <v/>
      </c>
    </row>
    <row r="16" ht="33" customHeight="1" s="83">
      <c r="A16" s="40">
        <f>MC_Quantile_100k!A4</f>
        <v/>
      </c>
      <c r="B16" s="45">
        <f>ROUND(B9/($D$2*7),0)</f>
        <v/>
      </c>
      <c r="C16" s="45">
        <f>ROUND(C9/($D$2*7),0)</f>
        <v/>
      </c>
      <c r="D16" s="45">
        <f>ROUND(D9/($D$2*7),0)</f>
        <v/>
      </c>
      <c r="E16" s="29" t="n"/>
      <c r="F16" s="39">
        <f>ROUND(B16/100000*$B$3,0)</f>
        <v/>
      </c>
      <c r="G16" s="39">
        <f>ROUND(C16/100000*$B$3,0)</f>
        <v/>
      </c>
      <c r="H16" s="39">
        <f>ROUND(D16/100000*$B$3,0)</f>
        <v/>
      </c>
      <c r="J16" s="37">
        <f>H16-F16</f>
        <v/>
      </c>
    </row>
    <row r="17" ht="33" customHeight="1" s="83">
      <c r="A17" s="40">
        <f>MC_Quantile_100k!A5</f>
        <v/>
      </c>
      <c r="B17" s="45">
        <f>ROUND(B10/($D$2*7),0)</f>
        <v/>
      </c>
      <c r="C17" s="45">
        <f>ROUND(C10/($D$2*7),0)</f>
        <v/>
      </c>
      <c r="D17" s="45">
        <f>ROUND(D10/($D$2*7),0)</f>
        <v/>
      </c>
      <c r="E17" s="29" t="n"/>
      <c r="F17" s="39">
        <f>ROUND(B17/100000*$B$3,0)</f>
        <v/>
      </c>
      <c r="G17" s="39">
        <f>ROUND(C17/100000*$B$3,0)</f>
        <v/>
      </c>
      <c r="H17" s="39">
        <f>ROUND(D17/100000*$B$3,0)</f>
        <v/>
      </c>
      <c r="J17" s="37">
        <f>H17-F17</f>
        <v/>
      </c>
    </row>
    <row r="18" ht="33" customHeight="1" s="83">
      <c r="A18" s="35" t="n"/>
      <c r="B18" s="36" t="n"/>
      <c r="C18" s="36" t="n"/>
      <c r="D18" s="36" t="n"/>
      <c r="E18" s="29" t="n"/>
    </row>
    <row r="19" ht="33" customHeight="1" s="83">
      <c r="A19" s="52" t="inlineStr">
        <is>
          <t>Hospitalisierungen (Gesamt/ 100k EW)</t>
        </is>
      </c>
      <c r="B19" s="106">
        <f>MC_Metadata!B7</f>
        <v/>
      </c>
      <c r="C19" s="107" t="n"/>
      <c r="D19" s="108" t="n"/>
      <c r="E19" s="29" t="n"/>
      <c r="F19" s="72">
        <f>F5</f>
        <v/>
      </c>
      <c r="G19" s="101" t="n"/>
      <c r="H19" s="102" t="n"/>
      <c r="J19" s="50" t="n"/>
    </row>
    <row r="20" ht="33" customHeight="1" s="83">
      <c r="A20" s="46">
        <f>A6</f>
        <v/>
      </c>
      <c r="B20" s="38">
        <f>B6</f>
        <v/>
      </c>
      <c r="C20" s="38">
        <f>C6</f>
        <v/>
      </c>
      <c r="D20" s="38">
        <f>D6</f>
        <v/>
      </c>
      <c r="E20" s="29" t="n"/>
      <c r="F20" s="38">
        <f>F6</f>
        <v/>
      </c>
      <c r="G20" s="38">
        <f>G6</f>
        <v/>
      </c>
      <c r="H20" s="38">
        <f>H6</f>
        <v/>
      </c>
      <c r="J20" s="38">
        <f>J6</f>
        <v/>
      </c>
    </row>
    <row r="21" ht="33" customHeight="1" s="83">
      <c r="A21" s="47">
        <f>MC_Quantile_100k!A2</f>
        <v/>
      </c>
      <c r="B21" s="48">
        <f>MC_Quantile_100k!E2</f>
        <v/>
      </c>
      <c r="C21" s="48">
        <f>MC_Quantile_100k!F2</f>
        <v/>
      </c>
      <c r="D21" s="48">
        <f>MC_Quantile_100k!G2</f>
        <v/>
      </c>
      <c r="E21" s="29" t="n"/>
      <c r="F21" s="39">
        <f>ROUND(B21/100000*$B$3,0)</f>
        <v/>
      </c>
      <c r="G21" s="39">
        <f>ROUND(C21/100000*$B$3,0)</f>
        <v/>
      </c>
      <c r="H21" s="39">
        <f>ROUND(D21/100000*$B$3,0)</f>
        <v/>
      </c>
      <c r="J21" s="37">
        <f>H21-F21</f>
        <v/>
      </c>
    </row>
    <row r="22" ht="33" customHeight="1" s="83">
      <c r="A22" s="47">
        <f>MC_Quantile_100k!A3</f>
        <v/>
      </c>
      <c r="B22" s="48">
        <f>MC_Quantile_100k!E3</f>
        <v/>
      </c>
      <c r="C22" s="48">
        <f>MC_Quantile_100k!F3</f>
        <v/>
      </c>
      <c r="D22" s="48">
        <f>MC_Quantile_100k!G3</f>
        <v/>
      </c>
      <c r="E22" s="29" t="n"/>
      <c r="F22" s="39">
        <f>ROUND(B22/100000*$B$3,0)</f>
        <v/>
      </c>
      <c r="G22" s="39">
        <f>ROUND(C22/100000*$B$3,0)</f>
        <v/>
      </c>
      <c r="H22" s="39">
        <f>ROUND(D22/100000*$B$3,0)</f>
        <v/>
      </c>
      <c r="J22" s="37">
        <f>H22-F22</f>
        <v/>
      </c>
    </row>
    <row r="23" ht="33" customHeight="1" s="83">
      <c r="A23" s="47">
        <f>MC_Quantile_100k!A4</f>
        <v/>
      </c>
      <c r="B23" s="48">
        <f>MC_Quantile_100k!E4</f>
        <v/>
      </c>
      <c r="C23" s="48">
        <f>MC_Quantile_100k!F4</f>
        <v/>
      </c>
      <c r="D23" s="48">
        <f>MC_Quantile_100k!G4</f>
        <v/>
      </c>
      <c r="E23" s="29" t="n"/>
      <c r="F23" s="39">
        <f>ROUND(B23/100000*$B$3,0)</f>
        <v/>
      </c>
      <c r="G23" s="39">
        <f>ROUND(C23/100000*$B$3,0)</f>
        <v/>
      </c>
      <c r="H23" s="39">
        <f>ROUND(D23/100000*$B$3,0)</f>
        <v/>
      </c>
      <c r="J23" s="37">
        <f>H23-F23</f>
        <v/>
      </c>
    </row>
    <row r="24" ht="33" customHeight="1" s="83">
      <c r="A24" s="47">
        <f>MC_Quantile_100k!A5</f>
        <v/>
      </c>
      <c r="B24" s="48">
        <f>MC_Quantile_100k!E5</f>
        <v/>
      </c>
      <c r="C24" s="48">
        <f>MC_Quantile_100k!F5</f>
        <v/>
      </c>
      <c r="D24" s="48">
        <f>MC_Quantile_100k!G5</f>
        <v/>
      </c>
      <c r="E24" s="29" t="n"/>
      <c r="F24" s="39">
        <f>ROUND(B24/100000*$B$3,0)</f>
        <v/>
      </c>
      <c r="G24" s="39">
        <f>ROUND(C24/100000*$B$3,0)</f>
        <v/>
      </c>
      <c r="H24" s="39">
        <f>ROUND(D24/100000*$B$3,0)</f>
        <v/>
      </c>
      <c r="J24" s="37">
        <f>H24-F24</f>
        <v/>
      </c>
    </row>
    <row r="25" ht="33" customHeight="1" s="83">
      <c r="A25" s="30" t="n"/>
      <c r="B25" s="34" t="n"/>
      <c r="C25" s="34" t="n"/>
      <c r="D25" s="34" t="n"/>
      <c r="E25" s="29" t="n"/>
    </row>
    <row r="26" ht="33" customHeight="1" s="83">
      <c r="A26" s="53" t="inlineStr">
        <is>
          <t>durchschn. Hospitalisierungen in 24 h/1000k EW</t>
        </is>
      </c>
      <c r="B26" s="106">
        <f>MC_Metadata!B7</f>
        <v/>
      </c>
      <c r="C26" s="107" t="n"/>
      <c r="D26" s="108" t="n"/>
      <c r="E26" s="29" t="n"/>
      <c r="F26" s="72">
        <f>F5</f>
        <v/>
      </c>
      <c r="G26" s="101" t="n"/>
      <c r="H26" s="102" t="n"/>
    </row>
    <row r="27" ht="33" customHeight="1" s="83">
      <c r="A27" s="46">
        <f>A6</f>
        <v/>
      </c>
      <c r="B27" s="38">
        <f>B6</f>
        <v/>
      </c>
      <c r="C27" s="38">
        <f>C6</f>
        <v/>
      </c>
      <c r="D27" s="38">
        <f>D6</f>
        <v/>
      </c>
      <c r="E27" s="29" t="n"/>
      <c r="F27" s="38">
        <f>F6</f>
        <v/>
      </c>
      <c r="G27" s="38">
        <f>G6</f>
        <v/>
      </c>
      <c r="H27" s="38">
        <f>H6</f>
        <v/>
      </c>
      <c r="J27" s="38">
        <f>J6</f>
        <v/>
      </c>
    </row>
    <row r="28" ht="33" customHeight="1" s="83">
      <c r="A28" s="47">
        <f>MC_Quantile_100k!A2</f>
        <v/>
      </c>
      <c r="B28" s="48">
        <f>ROUND(B21/($D$2*7),0)</f>
        <v/>
      </c>
      <c r="C28" s="48">
        <f>ROUND(C21/($D$2*7),0)</f>
        <v/>
      </c>
      <c r="D28" s="48">
        <f>ROUND(D21/($D$2*7),0)</f>
        <v/>
      </c>
      <c r="E28" s="29" t="n"/>
      <c r="F28" s="39">
        <f>ROUND(B28/100000*$B$3,0)</f>
        <v/>
      </c>
      <c r="G28" s="39">
        <f>ROUND(C28/100000*$B$3,0)</f>
        <v/>
      </c>
      <c r="H28" s="39">
        <f>ROUND(D28/100000*$B$3,0)</f>
        <v/>
      </c>
      <c r="J28" s="37">
        <f>H28-F28</f>
        <v/>
      </c>
    </row>
    <row r="29" ht="33" customHeight="1" s="83">
      <c r="A29" s="47">
        <f>MC_Quantile_100k!A3</f>
        <v/>
      </c>
      <c r="B29" s="48">
        <f>ROUND(B22/($D$2*7),0)</f>
        <v/>
      </c>
      <c r="C29" s="48">
        <f>ROUND(C22/($D$2*7),0)</f>
        <v/>
      </c>
      <c r="D29" s="48">
        <f>ROUND(D22/($D$2*7),0)</f>
        <v/>
      </c>
      <c r="E29" s="29" t="n"/>
      <c r="F29" s="39">
        <f>ROUND(B29/100000*$B$3,0)</f>
        <v/>
      </c>
      <c r="G29" s="39">
        <f>ROUND(C29/100000*$B$3,0)</f>
        <v/>
      </c>
      <c r="H29" s="39">
        <f>ROUND(D29/100000*$B$3,0)</f>
        <v/>
      </c>
      <c r="J29" s="37">
        <f>H29-F29</f>
        <v/>
      </c>
    </row>
    <row r="30" ht="33" customHeight="1" s="83">
      <c r="A30" s="47">
        <f>MC_Quantile_100k!A4</f>
        <v/>
      </c>
      <c r="B30" s="48">
        <f>ROUND(B23/($D$2*7),0)</f>
        <v/>
      </c>
      <c r="C30" s="48">
        <f>ROUND(C23/($D$2*7),0)</f>
        <v/>
      </c>
      <c r="D30" s="48">
        <f>ROUND(D23/($D$2*7),0)</f>
        <v/>
      </c>
      <c r="E30" s="29" t="n"/>
      <c r="F30" s="39">
        <f>ROUND(B30/100000*$B$3,0)</f>
        <v/>
      </c>
      <c r="G30" s="39">
        <f>ROUND(C30/100000*$B$3,0)</f>
        <v/>
      </c>
      <c r="H30" s="39">
        <f>ROUND(D30/100000*$B$3,0)</f>
        <v/>
      </c>
      <c r="J30" s="37">
        <f>H30-F30</f>
        <v/>
      </c>
    </row>
    <row r="31" ht="33" customHeight="1" s="83">
      <c r="A31" s="47">
        <f>MC_Quantile_100k!A5</f>
        <v/>
      </c>
      <c r="B31" s="48">
        <f>ROUND(B24/($D$2*7),0)</f>
        <v/>
      </c>
      <c r="C31" s="48">
        <f>ROUND(C24/($D$2*7),0)</f>
        <v/>
      </c>
      <c r="D31" s="48">
        <f>ROUND(D24/($D$2*7),0)</f>
        <v/>
      </c>
      <c r="E31" s="29" t="n"/>
      <c r="F31" s="39">
        <f>ROUND(B31/100000*$B$3,0)</f>
        <v/>
      </c>
      <c r="G31" s="39">
        <f>ROUND(C31/100000*$B$3,0)</f>
        <v/>
      </c>
      <c r="H31" s="39">
        <f>ROUND(D31/100000*$B$3,0)</f>
        <v/>
      </c>
      <c r="J31" s="37">
        <f>H31-F31</f>
        <v/>
      </c>
    </row>
    <row r="32" ht="33" customHeight="1" s="83">
      <c r="A32" s="30" t="n"/>
      <c r="B32" s="34" t="n"/>
      <c r="C32" s="34" t="n"/>
      <c r="D32" s="34" t="n"/>
      <c r="E32" s="29" t="n"/>
    </row>
    <row r="33" ht="33" customHeight="1" s="83">
      <c r="A33" s="53" t="inlineStr">
        <is>
          <t>Tot (Gesamt/ 1000k EW)</t>
        </is>
      </c>
      <c r="B33" s="106">
        <f>MC_Metadata!B8</f>
        <v/>
      </c>
      <c r="C33" s="107" t="n"/>
      <c r="D33" s="108" t="n"/>
      <c r="E33" s="29" t="n"/>
      <c r="F33" s="72">
        <f>F5</f>
        <v/>
      </c>
      <c r="G33" s="101" t="n"/>
      <c r="H33" s="102" t="n"/>
    </row>
    <row r="34" ht="33" customHeight="1" s="83">
      <c r="A34" s="46">
        <f>A6</f>
        <v/>
      </c>
      <c r="B34" s="38">
        <f>B6</f>
        <v/>
      </c>
      <c r="C34" s="38">
        <f>C6</f>
        <v/>
      </c>
      <c r="D34" s="38">
        <f>D6</f>
        <v/>
      </c>
      <c r="E34" s="29" t="n"/>
      <c r="F34" s="38">
        <f>F6</f>
        <v/>
      </c>
      <c r="G34" s="38">
        <f>G6</f>
        <v/>
      </c>
      <c r="H34" s="38">
        <f>H6</f>
        <v/>
      </c>
      <c r="J34" s="38">
        <f>J6</f>
        <v/>
      </c>
    </row>
    <row r="35" ht="33" customHeight="1" s="83">
      <c r="A35" s="47">
        <f>MC_Quantile_100k!A2</f>
        <v/>
      </c>
      <c r="B35" s="48">
        <f>MC_Quantile_100k!H2</f>
        <v/>
      </c>
      <c r="C35" s="48">
        <f>MC_Quantile_100k!I2</f>
        <v/>
      </c>
      <c r="D35" s="48">
        <f>MC_Quantile_100k!J2</f>
        <v/>
      </c>
      <c r="E35" s="29" t="n"/>
      <c r="F35" s="39">
        <f>ROUND(B35/100000*$B$3,0)</f>
        <v/>
      </c>
      <c r="G35" s="39">
        <f>ROUND(C35/100000*$B$3,0)</f>
        <v/>
      </c>
      <c r="H35" s="39">
        <f>ROUND(D35/100000*$B$3,0)</f>
        <v/>
      </c>
      <c r="J35" s="37">
        <f>H35-F35</f>
        <v/>
      </c>
    </row>
    <row r="36" ht="33" customHeight="1" s="83">
      <c r="A36" s="47">
        <f>MC_Quantile_100k!A3</f>
        <v/>
      </c>
      <c r="B36" s="48">
        <f>MC_Quantile_100k!H3</f>
        <v/>
      </c>
      <c r="C36" s="48">
        <f>MC_Quantile_100k!I3</f>
        <v/>
      </c>
      <c r="D36" s="48">
        <f>MC_Quantile_100k!J3</f>
        <v/>
      </c>
      <c r="E36" s="29" t="n"/>
      <c r="F36" s="39">
        <f>ROUND(B36/100000*$B$3,0)</f>
        <v/>
      </c>
      <c r="G36" s="39">
        <f>ROUND(C36/100000*$B$3,0)</f>
        <v/>
      </c>
      <c r="H36" s="39">
        <f>ROUND(D36/100000*$B$3,0)</f>
        <v/>
      </c>
      <c r="J36" s="37">
        <f>H36-F36</f>
        <v/>
      </c>
    </row>
    <row r="37" ht="33" customHeight="1" s="83">
      <c r="A37" s="47">
        <f>MC_Quantile_100k!A4</f>
        <v/>
      </c>
      <c r="B37" s="48">
        <f>MC_Quantile_100k!H4</f>
        <v/>
      </c>
      <c r="C37" s="48">
        <f>MC_Quantile_100k!I4</f>
        <v/>
      </c>
      <c r="D37" s="48">
        <f>MC_Quantile_100k!J4</f>
        <v/>
      </c>
      <c r="E37" s="29" t="n"/>
      <c r="F37" s="39">
        <f>ROUND(B37/100000*$B$3,0)</f>
        <v/>
      </c>
      <c r="G37" s="39">
        <f>ROUND(C37/100000*$B$3,0)</f>
        <v/>
      </c>
      <c r="H37" s="39">
        <f>ROUND(D37/100000*$B$3,0)</f>
        <v/>
      </c>
      <c r="J37" s="37">
        <f>H37-F37</f>
        <v/>
      </c>
    </row>
    <row r="38" ht="33" customHeight="1" s="83">
      <c r="A38" s="47">
        <f>MC_Quantile_100k!A5</f>
        <v/>
      </c>
      <c r="B38" s="48">
        <f>MC_Quantile_100k!H5</f>
        <v/>
      </c>
      <c r="C38" s="48">
        <f>MC_Quantile_100k!I5</f>
        <v/>
      </c>
      <c r="D38" s="48">
        <f>MC_Quantile_100k!J5</f>
        <v/>
      </c>
      <c r="E38" s="29" t="n"/>
      <c r="F38" s="39">
        <f>ROUND(B38/100000*$B$3,0)</f>
        <v/>
      </c>
      <c r="G38" s="39">
        <f>ROUND(C38/100000*$B$3,0)</f>
        <v/>
      </c>
      <c r="H38" s="39">
        <f>ROUND(D38/100000*$B$3,0)</f>
        <v/>
      </c>
      <c r="J38" s="37">
        <f>H38-F38</f>
        <v/>
      </c>
    </row>
    <row r="39" ht="33" customHeight="1" s="83">
      <c r="A39" s="30" t="n"/>
      <c r="B39" s="34" t="n"/>
      <c r="C39" s="34" t="n"/>
      <c r="D39" s="34" t="n"/>
      <c r="E39" s="29" t="n"/>
    </row>
    <row r="40" ht="33" customHeight="1" s="83">
      <c r="A40" s="53" t="inlineStr">
        <is>
          <t>duchschn. Tote in 24h/1000k EW</t>
        </is>
      </c>
      <c r="B40" s="106">
        <f>MC_Metadata!B8</f>
        <v/>
      </c>
      <c r="C40" s="107" t="n"/>
      <c r="D40" s="108" t="n"/>
      <c r="E40" s="29" t="n"/>
      <c r="F40" s="72">
        <f>F12</f>
        <v/>
      </c>
      <c r="G40" s="101" t="n"/>
      <c r="H40" s="102" t="n"/>
    </row>
    <row r="41" ht="33" customHeight="1" s="83">
      <c r="A41" s="46">
        <f>A13</f>
        <v/>
      </c>
      <c r="B41" s="38">
        <f>B13</f>
        <v/>
      </c>
      <c r="C41" s="38">
        <f>C13</f>
        <v/>
      </c>
      <c r="D41" s="38">
        <f>D13</f>
        <v/>
      </c>
      <c r="E41" s="29" t="n"/>
      <c r="F41" s="38">
        <f>F13</f>
        <v/>
      </c>
      <c r="G41" s="38">
        <f>G13</f>
        <v/>
      </c>
      <c r="H41" s="38">
        <f>H13</f>
        <v/>
      </c>
      <c r="J41" s="38">
        <f>J13</f>
        <v/>
      </c>
    </row>
    <row r="42" ht="33" customHeight="1" s="83">
      <c r="A42" s="47">
        <f>MC_Quantile_100k!A2</f>
        <v/>
      </c>
      <c r="B42" s="48">
        <f>ROUND(B35/($D$2*7),0)</f>
        <v/>
      </c>
      <c r="C42" s="48">
        <f>ROUND(C35/($D$2*7),0)</f>
        <v/>
      </c>
      <c r="D42" s="48">
        <f>ROUND(D35/($D$2*7),0)</f>
        <v/>
      </c>
      <c r="E42" s="29" t="n"/>
      <c r="F42" s="39">
        <f>ROUND(B42/100000*$B$3,0)</f>
        <v/>
      </c>
      <c r="G42" s="39">
        <f>ROUND(C42/100000*$B$3,0)</f>
        <v/>
      </c>
      <c r="H42" s="39">
        <f>ROUND(D42/100000*$B$3,0)</f>
        <v/>
      </c>
      <c r="J42" s="37">
        <f>H42-F42</f>
        <v/>
      </c>
    </row>
    <row r="43" ht="33" customHeight="1" s="83">
      <c r="A43" s="47">
        <f>MC_Quantile_100k!A3</f>
        <v/>
      </c>
      <c r="B43" s="48">
        <f>ROUND(B36/($D$2*7),0)</f>
        <v/>
      </c>
      <c r="C43" s="48">
        <f>ROUND(C36/($D$2*7),0)</f>
        <v/>
      </c>
      <c r="D43" s="48">
        <f>ROUND(D36/($D$2*7),0)</f>
        <v/>
      </c>
      <c r="E43" s="29" t="n"/>
      <c r="F43" s="39">
        <f>ROUND(B43/100000*$B$3,0)</f>
        <v/>
      </c>
      <c r="G43" s="39">
        <f>ROUND(C43/100000*$B$3,0)</f>
        <v/>
      </c>
      <c r="H43" s="39">
        <f>ROUND(D43/100000*$B$3,0)</f>
        <v/>
      </c>
      <c r="J43" s="37">
        <f>H43-F43</f>
        <v/>
      </c>
    </row>
    <row r="44" ht="33" customHeight="1" s="83">
      <c r="A44" s="47">
        <f>MC_Quantile_100k!A4</f>
        <v/>
      </c>
      <c r="B44" s="48">
        <f>ROUND(B37/($D$2*7),0)</f>
        <v/>
      </c>
      <c r="C44" s="48">
        <f>ROUND(C37/($D$2*7),0)</f>
        <v/>
      </c>
      <c r="D44" s="48">
        <f>ROUND(D37/($D$2*7),0)</f>
        <v/>
      </c>
      <c r="F44" s="39">
        <f>ROUND(B44/100000*$B$3,0)</f>
        <v/>
      </c>
      <c r="G44" s="39">
        <f>ROUND(C44/100000*$B$3,0)</f>
        <v/>
      </c>
      <c r="H44" s="39">
        <f>ROUND(D44/100000*$B$3,0)</f>
        <v/>
      </c>
      <c r="J44" s="37">
        <f>H44-F44</f>
        <v/>
      </c>
    </row>
    <row r="45" ht="33" customHeight="1" s="83">
      <c r="A45" s="47">
        <f>MC_Quantile_100k!A5</f>
        <v/>
      </c>
      <c r="B45" s="48">
        <f>ROUND(B38/($D$2*7),0)</f>
        <v/>
      </c>
      <c r="C45" s="48">
        <f>ROUND(C38/($D$2*7),0)</f>
        <v/>
      </c>
      <c r="D45" s="48">
        <f>ROUND(D38/($D$2*7),0)</f>
        <v/>
      </c>
      <c r="F45" s="39">
        <f>ROUND(B45/100000*$B$3,0)</f>
        <v/>
      </c>
      <c r="G45" s="39">
        <f>ROUND(C45/100000*$B$3,0)</f>
        <v/>
      </c>
      <c r="H45" s="39">
        <f>ROUND(D45/100000*$B$3,0)</f>
        <v/>
      </c>
      <c r="J45" s="37">
        <f>H45-F45</f>
        <v/>
      </c>
    </row>
    <row r="46" ht="25" customHeight="1" s="83"/>
    <row r="47" ht="18" customHeight="1" s="83"/>
    <row r="48" ht="18" customHeight="1" s="83"/>
    <row r="49" ht="18" customHeight="1" s="83"/>
    <row r="50" ht="18" customHeight="1" s="83"/>
    <row r="51" ht="18" customHeight="1" s="83"/>
    <row r="52" ht="18" customHeight="1" s="83"/>
    <row r="53" ht="21" customHeight="1" s="83"/>
    <row r="54" ht="35" customHeight="1" s="83"/>
    <row r="55" ht="25" customHeight="1" s="83"/>
    <row r="56" ht="26" customHeight="1" s="83"/>
    <row r="57" ht="18" customHeight="1" s="83"/>
    <row r="58" ht="18" customHeight="1" s="83"/>
    <row r="59" ht="18" customHeight="1" s="83"/>
    <row r="60" ht="18" customHeight="1" s="83"/>
    <row r="61" ht="32" customHeight="1" s="83"/>
    <row r="62" ht="32" customHeight="1" s="83"/>
    <row r="63" ht="32" customHeight="1" s="83"/>
    <row r="64" ht="18" customHeight="1" s="83"/>
    <row r="65" ht="18" customHeight="1" s="83"/>
    <row r="68">
      <c r="B68" s="6" t="n"/>
    </row>
    <row r="75">
      <c r="A75" s="10" t="inlineStr">
        <is>
          <t>Erkrankungen</t>
        </is>
      </c>
      <c r="B75" s="20">
        <f>100000*B45</f>
        <v/>
      </c>
      <c r="C75" s="20">
        <f>100000*C45</f>
        <v/>
      </c>
      <c r="D75" s="20">
        <f>100000*D45</f>
        <v/>
      </c>
      <c r="E75" s="20">
        <f>100000*E45</f>
        <v/>
      </c>
    </row>
    <row r="76" ht="16" customHeight="1" s="83">
      <c r="A76" s="8" t="inlineStr">
        <is>
          <t>Arztkonsultationen Spitzenbelastung /24h*</t>
        </is>
      </c>
      <c r="B76" s="9">
        <f>ROUND(B77/($D$2*7),0)</f>
        <v/>
      </c>
      <c r="C76" s="9">
        <f>ROUND(C77/($D$2*7),0)</f>
        <v/>
      </c>
      <c r="D76" s="9">
        <f>ROUND(D77/($D$2*7),0)</f>
        <v/>
      </c>
      <c r="E76" s="9">
        <f>ROUND(E77/($D$2*7),0)</f>
        <v/>
      </c>
    </row>
    <row r="77" ht="16" customHeight="1" s="83">
      <c r="A77" s="8" t="inlineStr">
        <is>
          <t>Arztkonsultationen / Gesamt*</t>
        </is>
      </c>
      <c r="B77" s="9">
        <f>B75*Parameter!$B$3</f>
        <v/>
      </c>
      <c r="C77" s="9">
        <f>C75*Parameter!$B$3</f>
        <v/>
      </c>
      <c r="D77" s="9">
        <f>D75*Parameter!$B$3</f>
        <v/>
      </c>
      <c r="E77" s="9">
        <f>E75*Parameter!$B$3</f>
        <v/>
      </c>
    </row>
    <row r="78" ht="16" customHeight="1" s="83">
      <c r="A78" s="1" t="inlineStr">
        <is>
          <t>Hospitalisierungen Spitzenbelastung /24h*</t>
        </is>
      </c>
      <c r="B78" s="7">
        <f>ROUND(B79/($D$2*7),0)</f>
        <v/>
      </c>
      <c r="C78" s="7">
        <f>ROUND(C79/($D$2*7),0)</f>
        <v/>
      </c>
      <c r="D78" s="7">
        <f>ROUND(D79/($D$2*7),0)</f>
        <v/>
      </c>
      <c r="E78" s="7">
        <f>ROUND(E79/($D$2*7),0)</f>
        <v/>
      </c>
    </row>
    <row r="79" ht="16" customHeight="1" s="83">
      <c r="A79" s="1" t="inlineStr">
        <is>
          <t>Hospitalisierungen (2,7%) / Gesamt*</t>
        </is>
      </c>
      <c r="B79" s="7">
        <f>ROUND(B77*Parameter!$B$4,0)</f>
        <v/>
      </c>
      <c r="C79" s="7">
        <f>ROUND(C77*Parameter!$B$4,0)</f>
        <v/>
      </c>
      <c r="D79" s="7">
        <f>ROUND(D77*Parameter!$B$4,0)</f>
        <v/>
      </c>
      <c r="E79" s="7">
        <f>ROUND(E77*Parameter!$B$4,0)</f>
        <v/>
      </c>
    </row>
    <row r="80" ht="16" customHeight="1" s="83">
      <c r="A80" s="8" t="inlineStr">
        <is>
          <t>Tote Spitzenbelastung /24h*</t>
        </is>
      </c>
      <c r="B80" s="9" t="n">
        <v>1</v>
      </c>
      <c r="C80" s="9" t="n">
        <v>2</v>
      </c>
      <c r="D80" s="9" t="n">
        <v>3</v>
      </c>
      <c r="E80" s="9" t="n">
        <v>4</v>
      </c>
    </row>
    <row r="81" ht="16" customHeight="1" s="83">
      <c r="A81" s="8" t="inlineStr">
        <is>
          <t>Tote (0,7% d. Arztkonsultationen) / Gesamt*</t>
        </is>
      </c>
      <c r="B81" s="9">
        <f>ROUND(B77*Parameter!$B$5,0)</f>
        <v/>
      </c>
      <c r="C81" s="9">
        <f>ROUND(C77*Parameter!$B$5,0)</f>
        <v/>
      </c>
      <c r="D81" s="9">
        <f>ROUND(D77*Parameter!$B$5,0)</f>
        <v/>
      </c>
      <c r="E81" s="9">
        <f>ROUND(E77*Parameter!$B$5,0)</f>
        <v/>
      </c>
    </row>
    <row r="82">
      <c r="A82" s="64" t="inlineStr">
        <is>
          <t>* Quelle: Modellrechnung Pandemieplan Land Hessen Februar 2007 (Seite 21 ff)</t>
        </is>
      </c>
      <c r="B82" s="57" t="n"/>
      <c r="C82" s="57" t="n"/>
      <c r="D82" s="57" t="n"/>
      <c r="E82" s="58" t="n"/>
    </row>
    <row r="83">
      <c r="A83" s="81" t="n"/>
      <c r="B83" s="57" t="n"/>
      <c r="C83" s="57" t="n"/>
      <c r="D83" s="57" t="n"/>
      <c r="E83" s="58" t="n"/>
    </row>
    <row r="84" ht="16" customHeight="1" s="83">
      <c r="A84" s="27">
        <f>A3</f>
        <v/>
      </c>
      <c r="B84" s="25">
        <f>B45</f>
        <v/>
      </c>
      <c r="C84" s="25">
        <f>C45</f>
        <v/>
      </c>
      <c r="D84" s="25">
        <f>D45</f>
        <v/>
      </c>
      <c r="E84" s="25">
        <f>E45</f>
        <v/>
      </c>
    </row>
    <row r="85">
      <c r="A85" s="10" t="inlineStr">
        <is>
          <t>Erkrankungen</t>
        </is>
      </c>
      <c r="B85" s="11">
        <f>ROUND($B$3*B84,0)</f>
        <v/>
      </c>
      <c r="C85" s="11">
        <f>ROUND($B$3*C84,0)</f>
        <v/>
      </c>
      <c r="D85" s="11">
        <f>ROUND($B$3*D84,0)</f>
        <v/>
      </c>
      <c r="E85" s="11">
        <f>ROUND($B$3*E84,0)</f>
        <v/>
      </c>
    </row>
    <row r="86" ht="16" customHeight="1" s="83">
      <c r="A86" s="8" t="inlineStr">
        <is>
          <t>Arztkonsultationen Spitzenbelastung /24h*</t>
        </is>
      </c>
      <c r="B86" s="9">
        <f>ROUND(B87/($D$2*7),0)</f>
        <v/>
      </c>
      <c r="C86" s="9">
        <f>ROUND(C87/($D$2*7),0)</f>
        <v/>
      </c>
      <c r="D86" s="9">
        <f>ROUND(D87/($D$2*7),0)</f>
        <v/>
      </c>
      <c r="E86" s="9">
        <f>ROUND(E87/($D$2*7),0)</f>
        <v/>
      </c>
    </row>
    <row r="87" ht="16" customHeight="1" s="83">
      <c r="A87" s="8" t="inlineStr">
        <is>
          <t>Arztkonsultationen / Gesamt*</t>
        </is>
      </c>
      <c r="B87" s="9">
        <f>ROUND(B85*Parameter!$B$3,0)</f>
        <v/>
      </c>
      <c r="C87" s="9">
        <f>ROUND(C85*Parameter!$B$3,0)</f>
        <v/>
      </c>
      <c r="D87" s="9">
        <f>ROUND(D85*Parameter!$B$3,0)</f>
        <v/>
      </c>
      <c r="E87" s="9">
        <f>ROUND(E85*Parameter!$B$3,0)</f>
        <v/>
      </c>
    </row>
    <row r="88" ht="16" customHeight="1" s="83">
      <c r="A88" s="1" t="inlineStr">
        <is>
          <t xml:space="preserve">Hospitalisierungen Spitzenbelastung /24h </t>
        </is>
      </c>
      <c r="B88" s="7">
        <f>ROUND(B89/($D$2*7),0)</f>
        <v/>
      </c>
      <c r="C88" s="7">
        <f>ROUND(C89/($D$2*7),0)</f>
        <v/>
      </c>
      <c r="D88" s="7">
        <f>ROUND(D89/($D$2*7),0)</f>
        <v/>
      </c>
      <c r="E88" s="7">
        <f>ROUND(E89/($D$2*7),0)</f>
        <v/>
      </c>
    </row>
    <row r="89" ht="16" customHeight="1" s="83">
      <c r="A89" s="1" t="inlineStr">
        <is>
          <t xml:space="preserve">Hospitalisierungen / Gesamt </t>
        </is>
      </c>
      <c r="B89" s="7">
        <f>ROUND(B87*Parameter!$B$4,0)</f>
        <v/>
      </c>
      <c r="C89" s="7">
        <f>ROUND(C87*Parameter!$B$4,0)</f>
        <v/>
      </c>
      <c r="D89" s="7">
        <f>ROUND(D87*Parameter!$B$4,0)</f>
        <v/>
      </c>
      <c r="E89" s="7">
        <f>ROUND(E87*Parameter!$B$4,0)</f>
        <v/>
      </c>
    </row>
    <row r="90" ht="32" customHeight="1" s="83">
      <c r="A90" s="8" t="inlineStr">
        <is>
          <t>Krankenhausverlauf mild (80%) / Gesamt (nach RKI Steckbrief Coronavirus 2019)</t>
        </is>
      </c>
      <c r="B90" s="9">
        <f>ROUND(B85*0.8,0)</f>
        <v/>
      </c>
      <c r="C90" s="9">
        <f>ROUND(C85*0.8,0)</f>
        <v/>
      </c>
      <c r="D90" s="9">
        <f>ROUND(D85*0.8,0)</f>
        <v/>
      </c>
      <c r="E90" s="9">
        <f>ROUND(E85*0.8,0)</f>
        <v/>
      </c>
    </row>
    <row r="91" ht="32" customHeight="1" s="83">
      <c r="A91" s="8" t="inlineStr">
        <is>
          <t>Krankenhausverlauf schwer (14%) / Gesamt (nach RKI Steckbrief Coronavirus 2019)</t>
        </is>
      </c>
      <c r="B91" s="9">
        <f>ROUND(B85*0.14,0)</f>
        <v/>
      </c>
      <c r="C91" s="9">
        <f>ROUND(C85*0.14,0)</f>
        <v/>
      </c>
      <c r="D91" s="9">
        <f>ROUND(D85*0.14,0)</f>
        <v/>
      </c>
      <c r="E91" s="9">
        <f>ROUND(E85*0.14,0)</f>
        <v/>
      </c>
    </row>
    <row r="92" ht="32" customHeight="1" s="83">
      <c r="A92" s="8" t="inlineStr">
        <is>
          <t>Krankenhausverlauf kritisch (6%) / Gesamt (nach RKI Steckbrief Coronavirus 2019)</t>
        </is>
      </c>
      <c r="B92" s="9">
        <f>ROUND(B85*0.06,0)</f>
        <v/>
      </c>
      <c r="C92" s="9">
        <f>ROUND(C85*0.06,0)</f>
        <v/>
      </c>
      <c r="D92" s="9">
        <f>ROUND(D85*0.06,0)</f>
        <v/>
      </c>
      <c r="E92" s="9">
        <f>ROUND(E85*0.06,0)</f>
        <v/>
      </c>
    </row>
    <row r="93" ht="16" customHeight="1" s="83">
      <c r="A93" s="1" t="inlineStr">
        <is>
          <t>Tote  Spitzenbelastung /24h*</t>
        </is>
      </c>
      <c r="B93" s="7">
        <f>ROUND(B94/($D$2*7),0)</f>
        <v/>
      </c>
      <c r="C93" s="7">
        <f>ROUND(C94/($D$2*7),0)</f>
        <v/>
      </c>
      <c r="D93" s="7">
        <f>ROUND(D94/($D$2*7),0)</f>
        <v/>
      </c>
      <c r="E93" s="7">
        <f>ROUND(E94/($D$2*7),0)</f>
        <v/>
      </c>
    </row>
    <row r="94" ht="16" customHeight="1" s="83">
      <c r="A94" s="1" t="inlineStr">
        <is>
          <t>Tote (0,7% d. Arztkonsultationen) / Gesamt*</t>
        </is>
      </c>
      <c r="B94" s="7">
        <f>ROUND(B87*Parameter!$B$5,0)</f>
        <v/>
      </c>
      <c r="C94" s="7">
        <f>ROUND(C87*Parameter!$B$5,0)</f>
        <v/>
      </c>
      <c r="D94" s="7">
        <f>ROUND(D87*Parameter!$B$5,0)</f>
        <v/>
      </c>
      <c r="E94" s="7">
        <f>ROUND(E87*Parameter!$B$5,0)</f>
        <v/>
      </c>
    </row>
  </sheetData>
  <mergeCells count="18">
    <mergeCell ref="B33:D33"/>
    <mergeCell ref="A83:E83"/>
    <mergeCell ref="B19:D19"/>
    <mergeCell ref="B5:D5"/>
    <mergeCell ref="F5:H5"/>
    <mergeCell ref="D2:E2"/>
    <mergeCell ref="F19:H19"/>
    <mergeCell ref="F33:H33"/>
    <mergeCell ref="A82:E82"/>
    <mergeCell ref="B26:D26"/>
    <mergeCell ref="B40:D40"/>
    <mergeCell ref="F26:H26"/>
    <mergeCell ref="F40:H40"/>
    <mergeCell ref="A1:E1"/>
    <mergeCell ref="B3:E3"/>
    <mergeCell ref="F12:H12"/>
    <mergeCell ref="B12:D1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31"/>
  <sheetViews>
    <sheetView zoomScale="130" zoomScaleNormal="130" workbookViewId="0">
      <selection activeCell="D24" sqref="D24"/>
    </sheetView>
  </sheetViews>
  <sheetFormatPr baseColWidth="10" defaultRowHeight="15"/>
  <cols>
    <col width="34.6640625" customWidth="1" style="83" min="1" max="1"/>
    <col width="17.1640625" customWidth="1" style="83" min="2" max="2"/>
  </cols>
  <sheetData>
    <row r="1" ht="24" customHeight="1" s="83"/>
    <row r="2" ht="27" customHeight="1" s="83">
      <c r="A2" s="4" t="n"/>
      <c r="B2" s="15" t="n"/>
    </row>
    <row r="3" ht="28" customFormat="1" customHeight="1" s="4">
      <c r="A3" s="2" t="inlineStr">
        <is>
          <t>Arztkonsukltationen (Rate)</t>
        </is>
      </c>
      <c r="B3" s="3" t="n">
        <v>0.5</v>
      </c>
    </row>
    <row r="4" ht="28" customFormat="1" customHeight="1" s="4">
      <c r="A4" s="2" t="inlineStr">
        <is>
          <t>Hospitalisierungsrate pro Konsultation</t>
        </is>
      </c>
      <c r="B4" s="5" t="n">
        <v>0.027</v>
      </c>
    </row>
    <row r="5" ht="28" customFormat="1" customHeight="1" s="4">
      <c r="A5" s="2" t="inlineStr">
        <is>
          <t>Todesrate pro Konsultation</t>
        </is>
      </c>
      <c r="B5" s="5" t="n">
        <v>0.007</v>
      </c>
    </row>
    <row r="10">
      <c r="A10" s="13" t="inlineStr">
        <is>
          <t>Gemeinde</t>
        </is>
      </c>
      <c r="B10" s="14" t="inlineStr">
        <is>
          <t>Einwohner</t>
        </is>
      </c>
    </row>
    <row r="11" ht="16" customHeight="1" s="83">
      <c r="A11" s="2" t="inlineStr">
        <is>
          <t>Troisdorf</t>
        </is>
      </c>
      <c r="B11" s="12" t="n">
        <v>75901</v>
      </c>
    </row>
    <row r="12" ht="16" customHeight="1" s="83">
      <c r="A12" s="2" t="inlineStr">
        <is>
          <t>Sankt Augustin</t>
        </is>
      </c>
      <c r="B12" s="12" t="n">
        <v>56521</v>
      </c>
    </row>
    <row r="13" ht="16" customHeight="1" s="83">
      <c r="A13" s="2" t="inlineStr">
        <is>
          <t>Bornheim</t>
        </is>
      </c>
      <c r="B13" s="12" t="n">
        <v>48203</v>
      </c>
    </row>
    <row r="14" ht="16" customHeight="1" s="83">
      <c r="A14" s="2" t="inlineStr">
        <is>
          <t>Hennef (Sieg)</t>
        </is>
      </c>
      <c r="B14" s="12" t="n">
        <v>48188</v>
      </c>
    </row>
    <row r="15" ht="16" customHeight="1" s="83">
      <c r="A15" s="2" t="inlineStr">
        <is>
          <t>Siegburg</t>
        </is>
      </c>
      <c r="B15" s="12" t="n">
        <v>42445</v>
      </c>
    </row>
    <row r="16" ht="16" customHeight="1" s="83">
      <c r="A16" s="2" t="inlineStr">
        <is>
          <t>Königswinter</t>
        </is>
      </c>
      <c r="B16" s="12" t="n">
        <v>40574</v>
      </c>
    </row>
    <row r="17" ht="16" customHeight="1" s="83">
      <c r="A17" s="2" t="inlineStr">
        <is>
          <t>Niederkassel</t>
        </is>
      </c>
      <c r="B17" s="12" t="n">
        <v>38485</v>
      </c>
    </row>
    <row r="18" ht="16" customHeight="1" s="83">
      <c r="A18" s="2" t="inlineStr">
        <is>
          <t>Lohmar</t>
        </is>
      </c>
      <c r="B18" s="12" t="n">
        <v>30992</v>
      </c>
    </row>
    <row r="19" ht="16" customHeight="1" s="83">
      <c r="A19" s="2" t="inlineStr">
        <is>
          <t>Rheinbach</t>
        </is>
      </c>
      <c r="B19" s="12" t="n">
        <v>26918</v>
      </c>
    </row>
    <row r="20" ht="16" customHeight="1" s="83">
      <c r="A20" s="2" t="inlineStr">
        <is>
          <t>Bad Honnef</t>
        </is>
      </c>
      <c r="B20" s="12" t="n">
        <v>25061</v>
      </c>
    </row>
    <row r="21" ht="16" customHeight="1" s="83">
      <c r="A21" s="2" t="inlineStr">
        <is>
          <t>Meckenheim</t>
        </is>
      </c>
      <c r="B21" s="12" t="n">
        <v>24925</v>
      </c>
    </row>
    <row r="22" ht="16" customHeight="1" s="83">
      <c r="A22" s="2" t="inlineStr">
        <is>
          <t>Alfter</t>
        </is>
      </c>
      <c r="B22" s="12" t="n">
        <v>23719</v>
      </c>
    </row>
    <row r="23" ht="16" customHeight="1" s="83">
      <c r="A23" s="2" t="inlineStr">
        <is>
          <t>Wachtberg</t>
        </is>
      </c>
      <c r="B23" s="12" t="n">
        <v>20471</v>
      </c>
    </row>
    <row r="24" ht="16" customHeight="1" s="83">
      <c r="A24" s="2" t="inlineStr">
        <is>
          <t>Neunk.-Seel.</t>
        </is>
      </c>
      <c r="B24" s="12" t="n">
        <v>20283</v>
      </c>
    </row>
    <row r="25" ht="16" customHeight="1" s="83">
      <c r="A25" s="2" t="inlineStr">
        <is>
          <t>Windeck</t>
        </is>
      </c>
      <c r="B25" s="12" t="n">
        <v>19555</v>
      </c>
    </row>
    <row r="26" ht="16" customHeight="1" s="83">
      <c r="A26" s="2" t="inlineStr">
        <is>
          <t>Eitorf</t>
        </is>
      </c>
      <c r="B26" s="12" t="n">
        <v>19172</v>
      </c>
    </row>
    <row r="27" ht="16" customHeight="1" s="83">
      <c r="A27" s="2" t="inlineStr">
        <is>
          <t>Swisttal</t>
        </is>
      </c>
      <c r="B27" s="12" t="n">
        <v>18580</v>
      </c>
    </row>
    <row r="28" ht="16" customHeight="1" s="83">
      <c r="A28" s="2" t="inlineStr">
        <is>
          <t>Much</t>
        </is>
      </c>
      <c r="B28" s="12" t="n">
        <v>14561</v>
      </c>
    </row>
    <row r="29" ht="16" customHeight="1" s="83">
      <c r="A29" s="2" t="inlineStr">
        <is>
          <t>Ruppichteroth</t>
        </is>
      </c>
      <c r="B29" s="12" t="n">
        <v>10887</v>
      </c>
    </row>
    <row r="31" ht="27" customHeight="1" s="83">
      <c r="A31" s="16" t="inlineStr">
        <is>
          <t>Gesamt</t>
        </is>
      </c>
      <c r="B31" s="17">
        <f>SUM(B11:B29)</f>
        <v/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Erkrankungsrate_%</t>
        </is>
      </c>
      <c r="B1" s="109" t="inlineStr">
        <is>
          <t>consult_total_q05</t>
        </is>
      </c>
      <c r="C1" s="109" t="inlineStr">
        <is>
          <t>consult_total_q50</t>
        </is>
      </c>
      <c r="D1" s="109" t="inlineStr">
        <is>
          <t>consult_total_q95</t>
        </is>
      </c>
      <c r="E1" s="109" t="inlineStr">
        <is>
          <t>hosp_total_q05</t>
        </is>
      </c>
      <c r="F1" s="109" t="inlineStr">
        <is>
          <t>hosp_total_q50</t>
        </is>
      </c>
      <c r="G1" s="109" t="inlineStr">
        <is>
          <t>hosp_total_q95</t>
        </is>
      </c>
      <c r="H1" s="109" t="inlineStr">
        <is>
          <t>deaths_total_q05</t>
        </is>
      </c>
      <c r="I1" s="109" t="inlineStr">
        <is>
          <t>deaths_total_q50</t>
        </is>
      </c>
      <c r="J1" s="109" t="inlineStr">
        <is>
          <t>deaths_total_q95</t>
        </is>
      </c>
    </row>
    <row r="2">
      <c r="A2" t="n">
        <v>15</v>
      </c>
      <c r="B2" t="n">
        <v>6988</v>
      </c>
      <c r="C2" t="n">
        <v>7500</v>
      </c>
      <c r="D2" t="n">
        <v>8013</v>
      </c>
      <c r="E2" t="n">
        <v>182</v>
      </c>
      <c r="F2" t="n">
        <v>202</v>
      </c>
      <c r="G2" t="n">
        <v>223</v>
      </c>
      <c r="H2" t="n">
        <v>37</v>
      </c>
      <c r="I2" t="n">
        <v>52</v>
      </c>
      <c r="J2" t="n">
        <v>68</v>
      </c>
    </row>
    <row r="3">
      <c r="A3" t="n">
        <v>30</v>
      </c>
      <c r="B3" t="n">
        <v>13974</v>
      </c>
      <c r="C3" t="n">
        <v>15001</v>
      </c>
      <c r="D3" t="n">
        <v>16025</v>
      </c>
      <c r="E3" t="n">
        <v>365</v>
      </c>
      <c r="F3" t="n">
        <v>405</v>
      </c>
      <c r="G3" t="n">
        <v>447</v>
      </c>
      <c r="H3" t="n">
        <v>74</v>
      </c>
      <c r="I3" t="n">
        <v>105</v>
      </c>
      <c r="J3" t="n">
        <v>137</v>
      </c>
    </row>
    <row r="4">
      <c r="A4" t="n">
        <v>50</v>
      </c>
      <c r="B4" t="n">
        <v>23294</v>
      </c>
      <c r="C4" t="n">
        <v>25000</v>
      </c>
      <c r="D4" t="n">
        <v>26710</v>
      </c>
      <c r="E4" t="n">
        <v>609</v>
      </c>
      <c r="F4" t="n">
        <v>674</v>
      </c>
      <c r="G4" t="n">
        <v>744</v>
      </c>
      <c r="H4" t="n">
        <v>123</v>
      </c>
      <c r="I4" t="n">
        <v>175</v>
      </c>
      <c r="J4" t="n">
        <v>228</v>
      </c>
    </row>
    <row r="5">
      <c r="A5" t="n">
        <v>70</v>
      </c>
      <c r="B5" t="n">
        <v>32606</v>
      </c>
      <c r="C5" t="n">
        <v>35002</v>
      </c>
      <c r="D5" t="n">
        <v>37394</v>
      </c>
      <c r="E5" t="n">
        <v>852</v>
      </c>
      <c r="F5" t="n">
        <v>944</v>
      </c>
      <c r="G5" t="n">
        <v>1042</v>
      </c>
      <c r="H5" t="n">
        <v>172</v>
      </c>
      <c r="I5" t="n">
        <v>245</v>
      </c>
      <c r="J5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Schlüssel</t>
        </is>
      </c>
      <c r="B1" s="109" t="inlineStr">
        <is>
          <t>Wert</t>
        </is>
      </c>
    </row>
    <row r="2">
      <c r="A2" t="inlineStr">
        <is>
          <t>Modell</t>
        </is>
      </c>
      <c r="B2" t="inlineStr">
        <is>
          <t>Meltzer (vereinfachtes Kettenmodell)</t>
        </is>
      </c>
    </row>
    <row r="3">
      <c r="A3" t="inlineStr">
        <is>
          <t>Simulationstyp</t>
        </is>
      </c>
      <c r="B3" t="inlineStr">
        <is>
          <t>Monte-Carlo</t>
        </is>
      </c>
    </row>
    <row r="4">
      <c r="A4" t="inlineStr">
        <is>
          <t>Stichprobengröße n</t>
        </is>
      </c>
      <c r="B4" t="inlineStr">
        <is>
          <t>200.000</t>
        </is>
      </c>
    </row>
    <row r="5">
      <c r="A5" t="inlineStr">
        <is>
          <t>Zufallsverteilungen</t>
        </is>
      </c>
      <c r="B5" t="inlineStr">
        <is>
          <t>Dreiecksverteilungen</t>
        </is>
      </c>
    </row>
    <row r="6">
      <c r="A6" t="inlineStr">
        <is>
          <t>consult_frac</t>
        </is>
      </c>
      <c r="B6" t="inlineStr">
        <is>
          <t>min=0,45 · mode=0,5 · max=0,55</t>
        </is>
      </c>
    </row>
    <row r="7">
      <c r="A7" t="inlineStr">
        <is>
          <t>hosp_per_consult</t>
        </is>
      </c>
      <c r="B7" t="inlineStr">
        <is>
          <t>min=0,024 · mode=0,027 · max=0,03</t>
        </is>
      </c>
    </row>
    <row r="8">
      <c r="A8" t="inlineStr">
        <is>
          <t>death_per_consult</t>
        </is>
      </c>
      <c r="B8" t="inlineStr">
        <is>
          <t>min=0,004 · mode=0,007 · max=0,01</t>
        </is>
      </c>
    </row>
    <row r="9">
      <c r="A9" t="inlineStr">
        <is>
          <t>Erkrankungsraten</t>
        </is>
      </c>
      <c r="B9" t="inlineStr">
        <is>
          <t>15 %, 30 %, 50 %, 70 %</t>
        </is>
      </c>
    </row>
    <row r="10">
      <c r="A10" t="inlineStr">
        <is>
          <t>Normierung</t>
        </is>
      </c>
      <c r="B10" t="inlineStr">
        <is>
          <t>pro 100.000 Einwohner</t>
        </is>
      </c>
    </row>
    <row r="11">
      <c r="A11" t="inlineStr">
        <is>
          <t>Rundung</t>
        </is>
      </c>
      <c r="B11" t="inlineStr">
        <is>
          <t>intern reell, Darstellung gerundet</t>
        </is>
      </c>
    </row>
    <row r="12">
      <c r="A12" t="inlineStr">
        <is>
          <t>Zufallsseed</t>
        </is>
      </c>
      <c r="B12" t="n">
        <v>42</v>
      </c>
    </row>
    <row r="13">
      <c r="A13" t="inlineStr">
        <is>
          <t>Erstellungsdatum</t>
        </is>
      </c>
      <c r="B13" t="inlineStr">
        <is>
          <t>2026-01-07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2026-01-01T17:02:51Z</dcterms:created>
  <dcterms:modified xmlns:dcterms="http://purl.org/dc/terms/" xmlns:xsi="http://www.w3.org/2001/XMLSchema-instance" xsi:type="dcterms:W3CDTF">2026-01-07T08:52:40Z</dcterms:modified>
  <cp:lastModifiedBy>Reimund Vehling</cp:lastModifiedBy>
</cp:coreProperties>
</file>